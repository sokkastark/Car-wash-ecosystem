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my work flow time line\"/>
    </mc:Choice>
  </mc:AlternateContent>
  <bookViews>
    <workbookView xWindow="0" yWindow="0" windowWidth="20490" windowHeight="9045" activeTab="4"/>
  </bookViews>
  <sheets>
    <sheet name="Code sorce" sheetId="3" r:id="rId1"/>
    <sheet name="pivot" sheetId="7" r:id="rId2"/>
    <sheet name="DB" sheetId="2" r:id="rId3"/>
    <sheet name="calc table" sheetId="6" r:id="rId4"/>
    <sheet name="DB GRAPH" sheetId="4" r:id="rId5"/>
  </sheets>
  <definedNames>
    <definedName name="_xlcn.WorksheetConnection_database.xlsxTable2VehicleNamesAmount1" hidden="1">Table2[[Vehicle Names]:[Amount]]</definedName>
  </definedNames>
  <calcPr calcId="152511"/>
  <pivotCaches>
    <pivotCache cacheId="0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  Vehicle Names   Amount-c058ac6f-6006-4913-9547-68f0bc9cfd30" name="Table2  Vehicle Names   Amount" connection="WorksheetConnection_database.xlsx!Table2[[Vehicle Names]:[Amount]]"/>
        </x15:modelTables>
      </x15:dataModel>
    </ext>
  </extLst>
</workbook>
</file>

<file path=xl/calcChain.xml><?xml version="1.0" encoding="utf-8"?>
<calcChain xmlns="http://schemas.openxmlformats.org/spreadsheetml/2006/main">
  <c r="F13" i="7" l="1"/>
  <c r="D13" i="7"/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tabase.xlsx!Table2[[Vehicle Names]:[Amount]]" type="102" refreshedVersion="5" minRefreshableVersion="5">
    <extLst>
      <ext xmlns:x15="http://schemas.microsoft.com/office/spreadsheetml/2010/11/main" uri="{DE250136-89BD-433C-8126-D09CA5730AF9}">
        <x15:connection id="Table2  Vehicle Names   Amount-c058ac6f-6006-4913-9547-68f0bc9cfd30" autoDelete="1">
          <x15:rangePr sourceName="_xlcn.WorksheetConnection_database.xlsxTable2VehicleNamesAmount1"/>
        </x15:connection>
      </ext>
    </extLst>
  </connection>
</connections>
</file>

<file path=xl/sharedStrings.xml><?xml version="1.0" encoding="utf-8"?>
<sst xmlns="http://schemas.openxmlformats.org/spreadsheetml/2006/main" count="261" uniqueCount="95">
  <si>
    <t>Customer ID</t>
  </si>
  <si>
    <t>A-11-07</t>
  </si>
  <si>
    <t>Swift</t>
  </si>
  <si>
    <t>KA05MG6244</t>
  </si>
  <si>
    <t>Alternative</t>
  </si>
  <si>
    <t>Vehicle Names</t>
  </si>
  <si>
    <t>Vehicle No</t>
  </si>
  <si>
    <t>Service Type</t>
  </si>
  <si>
    <t>Ext vehicle</t>
  </si>
  <si>
    <t>Ext Vehicle No</t>
  </si>
  <si>
    <t>Inside</t>
  </si>
  <si>
    <t>Ext veh ser dtls</t>
  </si>
  <si>
    <t>T V</t>
  </si>
  <si>
    <t>Amount</t>
  </si>
  <si>
    <t>Yes</t>
  </si>
  <si>
    <t>No</t>
  </si>
  <si>
    <t>Dropdown for inside</t>
  </si>
  <si>
    <t>Contact</t>
  </si>
  <si>
    <t>A-09-02</t>
  </si>
  <si>
    <t>Fiesta</t>
  </si>
  <si>
    <t>TN19D3045</t>
  </si>
  <si>
    <t>Regular</t>
  </si>
  <si>
    <t>Monthly</t>
  </si>
  <si>
    <t>B-12-02</t>
  </si>
  <si>
    <t>B-08-07</t>
  </si>
  <si>
    <t>I 10</t>
  </si>
  <si>
    <t>A-08-03</t>
  </si>
  <si>
    <t>Alto</t>
  </si>
  <si>
    <t>KA05MD6388</t>
  </si>
  <si>
    <t>KA05MN5406</t>
  </si>
  <si>
    <t>A-06-04</t>
  </si>
  <si>
    <t>Wagon r</t>
  </si>
  <si>
    <t>KA51MC6867</t>
  </si>
  <si>
    <t>A-06-01</t>
  </si>
  <si>
    <t>KA51Z1245</t>
  </si>
  <si>
    <t>A-05-04</t>
  </si>
  <si>
    <t>A-03-08</t>
  </si>
  <si>
    <t>I 20</t>
  </si>
  <si>
    <t>KA51MC6712</t>
  </si>
  <si>
    <t>A-00-03</t>
  </si>
  <si>
    <t>KA05MG3351</t>
  </si>
  <si>
    <t>Fortuner</t>
  </si>
  <si>
    <t>KA04MM5836</t>
  </si>
  <si>
    <t>Same</t>
  </si>
  <si>
    <t>B-08-02</t>
  </si>
  <si>
    <t>Beat</t>
  </si>
  <si>
    <t>KA05ML3599</t>
  </si>
  <si>
    <t>B-04-05</t>
  </si>
  <si>
    <t>Celerio</t>
  </si>
  <si>
    <t>KA05MS6510</t>
  </si>
  <si>
    <t>C-09-03</t>
  </si>
  <si>
    <t>KA05MF5319</t>
  </si>
  <si>
    <t>C-07-07</t>
  </si>
  <si>
    <t>KA01MF1207</t>
  </si>
  <si>
    <t>C-01-05</t>
  </si>
  <si>
    <t>KA51P1961</t>
  </si>
  <si>
    <t>D-07-08</t>
  </si>
  <si>
    <t>Micra</t>
  </si>
  <si>
    <t>KA05MQ2051</t>
  </si>
  <si>
    <t>D-05-02</t>
  </si>
  <si>
    <t>Ritz</t>
  </si>
  <si>
    <t>KA51MA5219</t>
  </si>
  <si>
    <t>D-02-08</t>
  </si>
  <si>
    <t>Verna</t>
  </si>
  <si>
    <t>KA05MR8904</t>
  </si>
  <si>
    <t>D-01-08</t>
  </si>
  <si>
    <t>KA05MQ7015</t>
  </si>
  <si>
    <t>E-11-02</t>
  </si>
  <si>
    <t>E-08-01</t>
  </si>
  <si>
    <t>KA01MK4634</t>
  </si>
  <si>
    <t>E-07-02</t>
  </si>
  <si>
    <t>E-02-02</t>
  </si>
  <si>
    <t>D-03-03</t>
  </si>
  <si>
    <t>City</t>
  </si>
  <si>
    <t>KA05MQ0946</t>
  </si>
  <si>
    <t>C-05-08</t>
  </si>
  <si>
    <t>Figo</t>
  </si>
  <si>
    <t>KA05AM9075</t>
  </si>
  <si>
    <t>B-00-06</t>
  </si>
  <si>
    <t>KA05MF9209</t>
  </si>
  <si>
    <t>B-10-06</t>
  </si>
  <si>
    <t>lIva</t>
  </si>
  <si>
    <t>KA01MK0478</t>
  </si>
  <si>
    <t>A-02-01</t>
  </si>
  <si>
    <t>Dzire</t>
  </si>
  <si>
    <t>KA05MM4090</t>
  </si>
  <si>
    <t>K-06-02</t>
  </si>
  <si>
    <t>Jazz</t>
  </si>
  <si>
    <t>Row Labels</t>
  </si>
  <si>
    <t>Sum of Amount</t>
  </si>
  <si>
    <t>Grand Total</t>
  </si>
  <si>
    <t>Sum of T V</t>
  </si>
  <si>
    <t>Total Cars</t>
  </si>
  <si>
    <t>Total Amount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</si>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</sst>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₹-4009]\ #,##0.00;[Red]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1" fillId="3" borderId="1" xfId="0" applyFont="1" applyFill="1" applyBorder="1"/>
    <xf numFmtId="0" fontId="0" fillId="0" borderId="1" xfId="0" applyFont="1" applyFill="1" applyBorder="1"/>
    <xf numFmtId="0" fontId="0" fillId="0" borderId="0" xfId="0" applyFont="1"/>
    <xf numFmtId="0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numFmt numFmtId="164" formatCode="[$₹-4009]\ #,##0.00;[Red][$₹-4009]\ #,##0.00"/>
    </dxf>
    <dxf>
      <numFmt numFmtId="1" formatCode="0"/>
    </dxf>
  </dxfs>
  <tableStyles count="1" defaultTableStyle="TableStyleMedium2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[database.xlsx]pivot!PivotTable4</c:name>
    <c:fmtId val="6"/>
  </c:pivotSource>
  <c:chart>
    <c:autoTitleDeleted val="1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pivot!$A$4:$A$10</c:f>
              <c:multiLvlStrCache>
                <c:ptCount val="4"/>
                <c:lvl>
                  <c:pt idx="0">
                    <c:v>Alternative</c:v>
                  </c:pt>
                  <c:pt idx="1">
                    <c:v>Regular</c:v>
                  </c:pt>
                  <c:pt idx="2">
                    <c:v>Alternative</c:v>
                  </c:pt>
                  <c:pt idx="3">
                    <c:v>Regular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pivot!$B$4:$B$10</c:f>
              <c:numCache>
                <c:formatCode>General</c:formatCode>
                <c:ptCount val="4"/>
                <c:pt idx="0">
                  <c:v>1700</c:v>
                </c:pt>
                <c:pt idx="1">
                  <c:v>2600</c:v>
                </c:pt>
                <c:pt idx="2">
                  <c:v>3300</c:v>
                </c:pt>
                <c:pt idx="3">
                  <c:v>8050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[database.xlsx]pivot!PivotTable5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pivot!$E$4:$E$6</c:f>
              <c:strCache>
                <c:ptCount val="2"/>
                <c:pt idx="0">
                  <c:v>Alternative</c:v>
                </c:pt>
                <c:pt idx="1">
                  <c:v>Regular</c:v>
                </c:pt>
              </c:strCache>
            </c:strRef>
          </c:cat>
          <c:val>
            <c:numRef>
              <c:f>pivot!$F$4:$F$6</c:f>
              <c:numCache>
                <c:formatCode>General</c:formatCode>
                <c:ptCount val="2"/>
                <c:pt idx="0">
                  <c:v>11</c:v>
                </c:pt>
                <c:pt idx="1">
                  <c:v>21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271792"/>
        <c:axId val="89272352"/>
      </c:barChart>
      <c:catAx>
        <c:axId val="8927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2352"/>
        <c:crosses val="autoZero"/>
        <c:auto val="1"/>
        <c:lblAlgn val="ctr"/>
        <c:lblOffset val="100"/>
        <c:noMultiLvlLbl val="0"/>
      </c:catAx>
      <c:valAx>
        <c:axId val="892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pivot!$D$12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pivot!$D$13</c:f>
              <c:numCache>
                <c:formatCode>General</c:formatCode>
                <c:ptCount val="1"/>
                <c:pt idx="0">
                  <c:v>15650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401232"/>
        <c:axId val="88973280"/>
        <c:axId val="0"/>
      </c:bar3DChart>
      <c:catAx>
        <c:axId val="1954012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3280"/>
        <c:crosses val="autoZero"/>
        <c:auto val="1"/>
        <c:lblAlgn val="ctr"/>
        <c:lblOffset val="100"/>
        <c:noMultiLvlLbl val="0"/>
      </c:catAx>
      <c:valAx>
        <c:axId val="889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123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402771</xdr:colOff>
      <xdr:row>2</xdr:row>
      <xdr:rowOff>46264</xdr:rowOff>
    </xdr:from>
    <xdr:ext cx="3964868" cy="400622"/>
    <xdr:sp macro="" textlink="">
      <xdr:nvSpPr>
        <xdr:cNvPr id="2" name="TextBox 1"/>
        <xdr:cNvSpPr txBox="1"/>
      </xdr:nvSpPr>
      <xdr:spPr>
        <a:xfrm>
          <a:off x="3028950" y="427264"/>
          <a:ext cx="3964868" cy="4006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bg1"/>
              </a:solidFill>
              <a:latin typeface="Century" panose="02040604050505020304" pitchFamily="18" charset="0"/>
            </a:rPr>
            <a:t>Data Analysis of Mantri Alpyne</a:t>
          </a:r>
        </a:p>
      </xdr:txBody>
    </xdr:sp>
    <xdr:clientData/>
  </xdr:oneCellAnchor>
  <xdr:twoCellAnchor>
    <xdr:from>
      <xdr:col>6</xdr:col>
      <xdr:colOff>579663</xdr:colOff>
      <xdr:row>6</xdr:row>
      <xdr:rowOff>175532</xdr:rowOff>
    </xdr:from>
    <xdr:to>
      <xdr:col>12</xdr:col>
      <xdr:colOff>209550</xdr:colOff>
      <xdr:row>21</xdr:row>
      <xdr:rowOff>61232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186417</xdr:colOff>
      <xdr:row>6</xdr:row>
      <xdr:rowOff>142194</xdr:rowOff>
    </xdr:from>
    <xdr:to>
      <xdr:col>6</xdr:col>
      <xdr:colOff>266700</xdr:colOff>
      <xdr:row>21</xdr:row>
      <xdr:rowOff>27894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542924</xdr:colOff>
      <xdr:row>2</xdr:row>
      <xdr:rowOff>95250</xdr:rowOff>
    </xdr:from>
    <xdr:to>
      <xdr:col>15</xdr:col>
      <xdr:colOff>904875</xdr:colOff>
      <xdr:row>23</xdr:row>
      <xdr:rowOff>147637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kkanathan" refreshedDate="42494.698933680556" createdVersion="5" refreshedVersion="5" minRefreshableVersion="3" recordCount="29">
  <cacheSource type="worksheet">
    <worksheetSource name="Table2[[Vehicle Names]:[Amount]]"/>
  </cacheSource>
  <cacheFields count="9">
    <cacheField name="Vehicle Names" numFmtId="0">
      <sharedItems count="17">
        <s v="Alto"/>
        <s v="Dzire"/>
        <s v="I 20"/>
        <s v="Swift"/>
        <s v="I 10"/>
        <s v="Wagon r"/>
        <s v="Fiesta"/>
        <s v="Celerio"/>
        <s v="Beat"/>
        <s v="lIva"/>
        <s v="Fortuner"/>
        <s v="Figo"/>
        <s v="Verna"/>
        <s v="City"/>
        <s v="Ritz"/>
        <s v="Micra"/>
        <s v="Jazz"/>
      </sharedItems>
    </cacheField>
    <cacheField name="Vehicle No" numFmtId="0">
      <sharedItems containsBlank="1" count="23">
        <s v="KA05MG3351"/>
        <s v="KA05MM4090"/>
        <s v="KA51MC6712"/>
        <m/>
        <s v="KA51Z1245"/>
        <s v="KA51MC6867"/>
        <s v="KA05MD6388"/>
        <s v="TN19D3045"/>
        <s v="KA05MG6244"/>
        <s v="KA05MF9209"/>
        <s v="KA05MS6510"/>
        <s v="KA05ML3599"/>
        <s v="KA05MN5406"/>
        <s v="KA01MK0478"/>
        <s v="KA51P1961"/>
        <s v="KA05AM9075"/>
        <s v="KA01MF1207"/>
        <s v="KA05MF5319"/>
        <s v="KA05MQ7015"/>
        <s v="KA05MR8904"/>
        <s v="KA05MQ0946"/>
        <s v="KA51MA5219"/>
        <s v="KA05MQ2051"/>
      </sharedItems>
    </cacheField>
    <cacheField name="Service Type" numFmtId="0">
      <sharedItems count="2">
        <s v="Regular"/>
        <s v="Alternative"/>
      </sharedItems>
    </cacheField>
    <cacheField name="Inside" numFmtId="0">
      <sharedItems count="2">
        <s v="No"/>
        <s v="Yes"/>
      </sharedItems>
    </cacheField>
    <cacheField name="Ext vehicle" numFmtId="0">
      <sharedItems count="3">
        <s v="No"/>
        <s v="Alto"/>
        <s v="I 20"/>
      </sharedItems>
    </cacheField>
    <cacheField name="Ext Vehicle No" numFmtId="0">
      <sharedItems containsBlank="1" count="4">
        <s v="No"/>
        <s v="KA04MM5836"/>
        <s v="KA01MK4634"/>
        <m/>
      </sharedItems>
    </cacheField>
    <cacheField name="Ext veh ser dtls" numFmtId="0">
      <sharedItems count="2">
        <s v="No"/>
        <s v="Same"/>
      </sharedItems>
    </cacheField>
    <cacheField name="T V" numFmtId="1">
      <sharedItems containsSemiMixedTypes="0" containsString="0" containsNumber="1" containsInteger="1" minValue="1" maxValue="2"/>
    </cacheField>
    <cacheField name="Amount" numFmtId="164">
      <sharedItems containsSemiMixedTypes="0" containsString="0" containsNumber="1" containsInteger="1" minValue="400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okkanathan" refreshedDate="42495.676910879629" backgroundQuery="1" createdVersion="5" refreshedVersion="5" minRefreshableVersion="3" recordCount="0" supportSubquery="1" supportAdvancedDrill="1">
  <cacheSource type="external" connectionId="1"/>
  <cacheFields count="2">
    <cacheField name="[Measures].[Sum of T V]" caption="Sum of T V" numFmtId="0" hierarchy="9" level="32767"/>
    <cacheField name="[Table2  Vehicle Names   Amount].[Service Type].[Service Type]" caption="Service Type" numFmtId="0" hierarchy="2" level="1">
      <sharedItems count="2">
        <s v="Alternative"/>
        <s v="Regular"/>
      </sharedItems>
    </cacheField>
  </cacheFields>
  <cacheHierarchies count="13">
    <cacheHierarchy uniqueName="[Table2  Vehicle Names   Amount].[Vehicle Names]" caption="Vehicle Names" attribute="1" defaultMemberUniqueName="[Table2  Vehicle Names   Amount].[Vehicle Names].[All]" allUniqueName="[Table2  Vehicle Names   Amount].[Vehicle Names].[All]" dimensionUniqueName="[Table2  Vehicle Names   Amount]" displayFolder="" count="2" memberValueDatatype="130" unbalanced="0"/>
    <cacheHierarchy uniqueName="[Table2  Vehicle Names   Amount].[Vehicle No]" caption="Vehicle No" attribute="1" defaultMemberUniqueName="[Table2  Vehicle Names   Amount].[Vehicle No].[All]" allUniqueName="[Table2  Vehicle Names   Amount].[Vehicle No].[All]" dimensionUniqueName="[Table2  Vehicle Names   Amount]" displayFolder="" count="2" memberValueDatatype="130" unbalanced="0"/>
    <cacheHierarchy uniqueName="[Table2  Vehicle Names   Amount].[Service Type]" caption="Service Type" attribute="1" defaultMemberUniqueName="[Table2  Vehicle Names   Amount].[Service Type].[All]" allUniqueName="[Table2  Vehicle Names   Amount].[Service Type].[All]" dimensionUniqueName="[Table2  Vehicle Names   Amount]" displayFolder="" count="2" memberValueDatatype="130" unbalanced="0">
      <fieldsUsage count="2">
        <fieldUsage x="-1"/>
        <fieldUsage x="1"/>
      </fieldsUsage>
    </cacheHierarchy>
    <cacheHierarchy uniqueName="[Table2  Vehicle Names   Amount].[Inside]" caption="Inside" attribute="1" defaultMemberUniqueName="[Table2  Vehicle Names   Amount].[Inside].[All]" allUniqueName="[Table2  Vehicle Names   Amount].[Inside].[All]" dimensionUniqueName="[Table2  Vehicle Names   Amount]" displayFolder="" count="2" memberValueDatatype="130" unbalanced="0"/>
    <cacheHierarchy uniqueName="[Table2  Vehicle Names   Amount].[Ext vehicle]" caption="Ext vehicle" attribute="1" defaultMemberUniqueName="[Table2  Vehicle Names   Amount].[Ext vehicle].[All]" allUniqueName="[Table2  Vehicle Names   Amount].[Ext vehicle].[All]" dimensionUniqueName="[Table2  Vehicle Names   Amount]" displayFolder="" count="2" memberValueDatatype="130" unbalanced="0"/>
    <cacheHierarchy uniqueName="[Table2  Vehicle Names   Amount].[Ext Vehicle No]" caption="Ext Vehicle No" attribute="1" defaultMemberUniqueName="[Table2  Vehicle Names   Amount].[Ext Vehicle No].[All]" allUniqueName="[Table2  Vehicle Names   Amount].[Ext Vehicle No].[All]" dimensionUniqueName="[Table2  Vehicle Names   Amount]" displayFolder="" count="2" memberValueDatatype="130" unbalanced="0"/>
    <cacheHierarchy uniqueName="[Table2  Vehicle Names   Amount].[Ext veh ser dtls]" caption="Ext veh ser dtls" attribute="1" defaultMemberUniqueName="[Table2  Vehicle Names   Amount].[Ext veh ser dtls].[All]" allUniqueName="[Table2  Vehicle Names   Amount].[Ext veh ser dtls].[All]" dimensionUniqueName="[Table2  Vehicle Names   Amount]" displayFolder="" count="2" memberValueDatatype="130" unbalanced="0"/>
    <cacheHierarchy uniqueName="[Table2  Vehicle Names   Amount].[T V]" caption="T V" attribute="1" defaultMemberUniqueName="[Table2  Vehicle Names   Amount].[T V].[All]" allUniqueName="[Table2  Vehicle Names   Amount].[T V].[All]" dimensionUniqueName="[Table2  Vehicle Names   Amount]" displayFolder="" count="0" memberValueDatatype="20" unbalanced="0"/>
    <cacheHierarchy uniqueName="[Table2  Vehicle Names   Amount].[Amount]" caption="Amount" attribute="1" defaultMemberUniqueName="[Table2  Vehicle Names   Amount].[Amount].[All]" allUniqueName="[Table2  Vehicle Names   Amount].[Amount].[All]" dimensionUniqueName="[Table2  Vehicle Names   Amount]" displayFolder="" count="0" memberValueDatatype="20" unbalanced="0"/>
    <cacheHierarchy uniqueName="[Measures].[Sum of T V]" caption="Sum of T V" measure="1" displayFolder="" measureGroup="Table2  Vehicle Names   Amoun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mount]" caption="Sum of Amount" measure="1" displayFolder="" measureGroup="Table2  Vehicle Names   Amoun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__XL_Count Table2  Vehicle Names   Amount]" caption="__XL_Count Table2  Vehicle Names   Amount" measure="1" displayFolder="" measureGroup="Table2  Vehicle Names   Amount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2  Vehicle Names   Amount" uniqueName="[Table2  Vehicle Names   Amount]" caption="Table2  Vehicle Names   Amount"/>
  </dimensions>
  <measureGroups count="1">
    <measureGroup name="Table2  Vehicle Names   Amount" caption="Table2  Vehicle Names   Amoun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n v="1"/>
    <n v="400"/>
  </r>
  <r>
    <x v="1"/>
    <x v="1"/>
    <x v="1"/>
    <x v="0"/>
    <x v="0"/>
    <x v="0"/>
    <x v="0"/>
    <n v="1"/>
    <n v="500"/>
  </r>
  <r>
    <x v="2"/>
    <x v="2"/>
    <x v="0"/>
    <x v="0"/>
    <x v="0"/>
    <x v="0"/>
    <x v="0"/>
    <n v="1"/>
    <n v="400"/>
  </r>
  <r>
    <x v="3"/>
    <x v="3"/>
    <x v="0"/>
    <x v="0"/>
    <x v="0"/>
    <x v="0"/>
    <x v="0"/>
    <n v="1"/>
    <n v="400"/>
  </r>
  <r>
    <x v="4"/>
    <x v="4"/>
    <x v="1"/>
    <x v="1"/>
    <x v="0"/>
    <x v="0"/>
    <x v="0"/>
    <n v="1"/>
    <n v="400"/>
  </r>
  <r>
    <x v="5"/>
    <x v="5"/>
    <x v="0"/>
    <x v="1"/>
    <x v="0"/>
    <x v="0"/>
    <x v="0"/>
    <n v="1"/>
    <n v="500"/>
  </r>
  <r>
    <x v="0"/>
    <x v="6"/>
    <x v="0"/>
    <x v="1"/>
    <x v="0"/>
    <x v="0"/>
    <x v="0"/>
    <n v="1"/>
    <n v="500"/>
  </r>
  <r>
    <x v="6"/>
    <x v="7"/>
    <x v="1"/>
    <x v="1"/>
    <x v="0"/>
    <x v="0"/>
    <x v="0"/>
    <n v="1"/>
    <n v="600"/>
  </r>
  <r>
    <x v="3"/>
    <x v="8"/>
    <x v="1"/>
    <x v="1"/>
    <x v="0"/>
    <x v="0"/>
    <x v="0"/>
    <n v="1"/>
    <n v="500"/>
  </r>
  <r>
    <x v="0"/>
    <x v="9"/>
    <x v="0"/>
    <x v="0"/>
    <x v="0"/>
    <x v="0"/>
    <x v="0"/>
    <n v="1"/>
    <n v="400"/>
  </r>
  <r>
    <x v="7"/>
    <x v="10"/>
    <x v="0"/>
    <x v="1"/>
    <x v="0"/>
    <x v="0"/>
    <x v="0"/>
    <n v="1"/>
    <n v="400"/>
  </r>
  <r>
    <x v="8"/>
    <x v="11"/>
    <x v="0"/>
    <x v="1"/>
    <x v="0"/>
    <x v="0"/>
    <x v="0"/>
    <n v="1"/>
    <n v="450"/>
  </r>
  <r>
    <x v="4"/>
    <x v="12"/>
    <x v="0"/>
    <x v="0"/>
    <x v="0"/>
    <x v="0"/>
    <x v="0"/>
    <n v="1"/>
    <n v="500"/>
  </r>
  <r>
    <x v="9"/>
    <x v="13"/>
    <x v="1"/>
    <x v="0"/>
    <x v="0"/>
    <x v="0"/>
    <x v="0"/>
    <n v="1"/>
    <n v="400"/>
  </r>
  <r>
    <x v="10"/>
    <x v="3"/>
    <x v="0"/>
    <x v="1"/>
    <x v="1"/>
    <x v="1"/>
    <x v="1"/>
    <n v="2"/>
    <n v="1100"/>
  </r>
  <r>
    <x v="5"/>
    <x v="14"/>
    <x v="0"/>
    <x v="1"/>
    <x v="0"/>
    <x v="0"/>
    <x v="0"/>
    <n v="1"/>
    <n v="600"/>
  </r>
  <r>
    <x v="11"/>
    <x v="15"/>
    <x v="1"/>
    <x v="0"/>
    <x v="0"/>
    <x v="0"/>
    <x v="0"/>
    <n v="1"/>
    <n v="400"/>
  </r>
  <r>
    <x v="4"/>
    <x v="16"/>
    <x v="0"/>
    <x v="1"/>
    <x v="0"/>
    <x v="0"/>
    <x v="0"/>
    <n v="1"/>
    <n v="600"/>
  </r>
  <r>
    <x v="5"/>
    <x v="17"/>
    <x v="0"/>
    <x v="1"/>
    <x v="0"/>
    <x v="0"/>
    <x v="0"/>
    <n v="1"/>
    <n v="450"/>
  </r>
  <r>
    <x v="2"/>
    <x v="18"/>
    <x v="1"/>
    <x v="1"/>
    <x v="0"/>
    <x v="0"/>
    <x v="0"/>
    <n v="1"/>
    <n v="400"/>
  </r>
  <r>
    <x v="12"/>
    <x v="19"/>
    <x v="0"/>
    <x v="1"/>
    <x v="0"/>
    <x v="0"/>
    <x v="0"/>
    <n v="1"/>
    <n v="500"/>
  </r>
  <r>
    <x v="13"/>
    <x v="20"/>
    <x v="1"/>
    <x v="1"/>
    <x v="0"/>
    <x v="0"/>
    <x v="0"/>
    <n v="1"/>
    <n v="600"/>
  </r>
  <r>
    <x v="14"/>
    <x v="21"/>
    <x v="0"/>
    <x v="1"/>
    <x v="0"/>
    <x v="0"/>
    <x v="0"/>
    <n v="1"/>
    <n v="1000"/>
  </r>
  <r>
    <x v="15"/>
    <x v="22"/>
    <x v="0"/>
    <x v="1"/>
    <x v="0"/>
    <x v="0"/>
    <x v="0"/>
    <n v="1"/>
    <n v="500"/>
  </r>
  <r>
    <x v="4"/>
    <x v="3"/>
    <x v="1"/>
    <x v="0"/>
    <x v="0"/>
    <x v="0"/>
    <x v="0"/>
    <n v="1"/>
    <n v="400"/>
  </r>
  <r>
    <x v="3"/>
    <x v="3"/>
    <x v="0"/>
    <x v="1"/>
    <x v="0"/>
    <x v="0"/>
    <x v="0"/>
    <n v="1"/>
    <n v="450"/>
  </r>
  <r>
    <x v="14"/>
    <x v="3"/>
    <x v="1"/>
    <x v="1"/>
    <x v="1"/>
    <x v="2"/>
    <x v="1"/>
    <n v="2"/>
    <n v="800"/>
  </r>
  <r>
    <x v="7"/>
    <x v="3"/>
    <x v="0"/>
    <x v="1"/>
    <x v="2"/>
    <x v="3"/>
    <x v="1"/>
    <n v="2"/>
    <n v="1000"/>
  </r>
  <r>
    <x v="16"/>
    <x v="3"/>
    <x v="0"/>
    <x v="0"/>
    <x v="0"/>
    <x v="0"/>
    <x v="0"/>
    <n v="1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49">
  <location ref="E3:F6" firstHeaderRow="1" firstDataRow="1" firstDataCol="1"/>
  <pivotFields count="2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 V" fld="0" baseField="0" baseItem="0"/>
  </dataFields>
  <chartFormats count="1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base.xlsx!Table2[[Vehicle Names]:[Amount]]">
        <x15:activeTabTopLevelEntity name="[Table2  Vehicle Names   Amount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10" firstHeaderRow="1" firstDataRow="1" firstDataCol="1"/>
  <pivotFields count="9">
    <pivotField showAll="0">
      <items count="18">
        <item x="0"/>
        <item x="8"/>
        <item x="7"/>
        <item x="13"/>
        <item x="1"/>
        <item x="6"/>
        <item x="11"/>
        <item x="10"/>
        <item x="4"/>
        <item x="2"/>
        <item x="16"/>
        <item x="9"/>
        <item x="15"/>
        <item x="14"/>
        <item x="3"/>
        <item x="12"/>
        <item x="5"/>
        <item t="default"/>
      </items>
    </pivotField>
    <pivotField showAll="0">
      <items count="24">
        <item x="16"/>
        <item x="13"/>
        <item x="15"/>
        <item x="6"/>
        <item x="17"/>
        <item x="9"/>
        <item x="0"/>
        <item x="8"/>
        <item x="11"/>
        <item x="1"/>
        <item x="12"/>
        <item x="20"/>
        <item x="22"/>
        <item x="18"/>
        <item x="19"/>
        <item x="10"/>
        <item x="21"/>
        <item x="2"/>
        <item x="5"/>
        <item x="14"/>
        <item x="4"/>
        <item x="7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" showAll="0"/>
    <pivotField dataField="1" numFmtId="164" showAll="0"/>
  </pivotFields>
  <rowFields count="2">
    <field x="3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Amount" fld="8" baseField="0" baseItem="0"/>
  </dataFields>
  <chartFormats count="6">
    <chartFormat chart="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B1:M30" totalsRowShown="0">
  <autoFilter ref="B1:M30"/>
  <sortState ref="B2:L30">
    <sortCondition ref="B1:B30" customList="A-z,01-01"/>
  </sortState>
  <tableColumns count="12">
    <tableColumn id="1" name="Customer ID"/>
    <tableColumn id="20" name="Contact"/>
    <tableColumn id="2" name="Vehicle Names"/>
    <tableColumn id="3" name="Vehicle No"/>
    <tableColumn id="4" name="Service Type"/>
    <tableColumn id="19" name="Inside"/>
    <tableColumn id="5" name="Ext vehicle"/>
    <tableColumn id="6" name="Ext Vehicle No"/>
    <tableColumn id="7" name="Ext veh ser dtls"/>
    <tableColumn id="8" name="T V" dataDxfId="1"/>
    <tableColumn id="9" name="Amount" dataDxfId="0"/>
    <tableColumn id="10" name="Discontinu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1"/>
  <sheetViews>
    <sheetView workbookViewId="0">
      <selection activeCell="H5" sqref="H5"/>
    </sheetView>
  </sheetViews>
  <sheetFormatPr defaultRowHeight="15" x14ac:dyDescent="0.25"/>
  <sheetData>
    <row r="3" spans="2:12" x14ac:dyDescent="0.25">
      <c r="B3" s="1" t="s">
        <v>16</v>
      </c>
      <c r="C3" s="1"/>
      <c r="E3" s="4" t="s">
        <v>7</v>
      </c>
      <c r="F3" s="1"/>
      <c r="H3" s="8" t="s">
        <v>8</v>
      </c>
    </row>
    <row r="4" spans="2:12" x14ac:dyDescent="0.25">
      <c r="B4" t="s">
        <v>14</v>
      </c>
      <c r="E4" s="5" t="s">
        <v>4</v>
      </c>
      <c r="H4" t="s">
        <v>15</v>
      </c>
    </row>
    <row r="5" spans="2:12" x14ac:dyDescent="0.25">
      <c r="B5" t="s">
        <v>15</v>
      </c>
      <c r="E5" t="s">
        <v>21</v>
      </c>
    </row>
    <row r="6" spans="2:12" x14ac:dyDescent="0.25">
      <c r="E6" t="s">
        <v>22</v>
      </c>
    </row>
    <row r="7" spans="2:12" x14ac:dyDescent="0.25">
      <c r="L7" t="str">
        <f t="shared" ref="L7:L21" si="0">UPPER(K7)</f>
        <v/>
      </c>
    </row>
    <row r="8" spans="2:12" x14ac:dyDescent="0.25">
      <c r="L8" t="str">
        <f t="shared" si="0"/>
        <v/>
      </c>
    </row>
    <row r="9" spans="2:12" x14ac:dyDescent="0.25">
      <c r="L9" t="str">
        <f t="shared" si="0"/>
        <v/>
      </c>
    </row>
    <row r="10" spans="2:12" x14ac:dyDescent="0.25">
      <c r="L10" t="str">
        <f t="shared" si="0"/>
        <v/>
      </c>
    </row>
    <row r="11" spans="2:12" x14ac:dyDescent="0.25">
      <c r="L11" t="str">
        <f t="shared" si="0"/>
        <v/>
      </c>
    </row>
    <row r="12" spans="2:12" x14ac:dyDescent="0.25">
      <c r="L12" t="str">
        <f t="shared" si="0"/>
        <v/>
      </c>
    </row>
    <row r="13" spans="2:12" x14ac:dyDescent="0.25">
      <c r="L13" t="str">
        <f t="shared" si="0"/>
        <v/>
      </c>
    </row>
    <row r="14" spans="2:12" x14ac:dyDescent="0.25">
      <c r="L14" t="str">
        <f t="shared" si="0"/>
        <v/>
      </c>
    </row>
    <row r="15" spans="2:12" x14ac:dyDescent="0.25">
      <c r="L15" t="str">
        <f t="shared" si="0"/>
        <v/>
      </c>
    </row>
    <row r="16" spans="2:12" x14ac:dyDescent="0.25">
      <c r="L16" t="str">
        <f t="shared" si="0"/>
        <v/>
      </c>
    </row>
    <row r="17" spans="12:12" x14ac:dyDescent="0.25">
      <c r="L17" t="str">
        <f t="shared" si="0"/>
        <v/>
      </c>
    </row>
    <row r="18" spans="12:12" x14ac:dyDescent="0.25">
      <c r="L18" t="str">
        <f t="shared" si="0"/>
        <v/>
      </c>
    </row>
    <row r="19" spans="12:12" x14ac:dyDescent="0.25">
      <c r="L19" t="str">
        <f t="shared" si="0"/>
        <v/>
      </c>
    </row>
    <row r="20" spans="12:12" x14ac:dyDescent="0.25">
      <c r="L20" t="str">
        <f t="shared" si="0"/>
        <v/>
      </c>
    </row>
    <row r="21" spans="12:12" x14ac:dyDescent="0.25">
      <c r="L21" t="str">
        <f t="shared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workbookViewId="0">
      <selection activeCell="E17" sqref="E17"/>
    </sheetView>
  </sheetViews>
  <sheetFormatPr defaultRowHeight="15" x14ac:dyDescent="0.25"/>
  <cols>
    <col min="1" max="1" width="14.7109375" customWidth="1"/>
    <col min="2" max="3" width="14.85546875" customWidth="1"/>
    <col min="5" max="5" width="13.140625" customWidth="1"/>
    <col min="6" max="7" width="10.28515625" customWidth="1"/>
  </cols>
  <sheetData>
    <row r="3" spans="1:6" x14ac:dyDescent="0.25">
      <c r="A3" s="11" t="s">
        <v>88</v>
      </c>
      <c r="B3" t="s">
        <v>89</v>
      </c>
      <c r="E3" s="11" t="s">
        <v>88</v>
      </c>
      <c r="F3" t="s">
        <v>91</v>
      </c>
    </row>
    <row r="4" spans="1:6" x14ac:dyDescent="0.25">
      <c r="A4" s="12" t="s">
        <v>15</v>
      </c>
      <c r="B4" s="7">
        <v>4300</v>
      </c>
      <c r="E4" s="12" t="s">
        <v>4</v>
      </c>
      <c r="F4" s="7">
        <v>11</v>
      </c>
    </row>
    <row r="5" spans="1:6" x14ac:dyDescent="0.25">
      <c r="A5" s="13" t="s">
        <v>4</v>
      </c>
      <c r="B5" s="7">
        <v>1700</v>
      </c>
      <c r="E5" s="12" t="s">
        <v>21</v>
      </c>
      <c r="F5" s="7">
        <v>21</v>
      </c>
    </row>
    <row r="6" spans="1:6" x14ac:dyDescent="0.25">
      <c r="A6" s="13" t="s">
        <v>21</v>
      </c>
      <c r="B6" s="7">
        <v>2600</v>
      </c>
      <c r="E6" s="12" t="s">
        <v>90</v>
      </c>
      <c r="F6" s="7">
        <v>32</v>
      </c>
    </row>
    <row r="7" spans="1:6" x14ac:dyDescent="0.25">
      <c r="A7" s="12" t="s">
        <v>14</v>
      </c>
      <c r="B7" s="7">
        <v>11350</v>
      </c>
    </row>
    <row r="8" spans="1:6" x14ac:dyDescent="0.25">
      <c r="A8" s="13" t="s">
        <v>4</v>
      </c>
      <c r="B8" s="7">
        <v>3300</v>
      </c>
    </row>
    <row r="9" spans="1:6" x14ac:dyDescent="0.25">
      <c r="A9" s="13" t="s">
        <v>21</v>
      </c>
      <c r="B9" s="7">
        <v>8050</v>
      </c>
    </row>
    <row r="10" spans="1:6" x14ac:dyDescent="0.25">
      <c r="A10" s="12" t="s">
        <v>90</v>
      </c>
      <c r="B10" s="7">
        <v>15650</v>
      </c>
    </row>
    <row r="12" spans="1:6" x14ac:dyDescent="0.25">
      <c r="D12" t="s">
        <v>93</v>
      </c>
      <c r="F12" t="s">
        <v>92</v>
      </c>
    </row>
    <row r="13" spans="1:6" x14ac:dyDescent="0.25">
      <c r="D13">
        <f>SUM(DB!L:L)</f>
        <v>15650</v>
      </c>
      <c r="F13" s="2">
        <f>SUM(DB!K:K)</f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zoomScaleNormal="100" workbookViewId="0">
      <selection activeCell="O9" sqref="O9"/>
    </sheetView>
  </sheetViews>
  <sheetFormatPr defaultRowHeight="15" x14ac:dyDescent="0.25"/>
  <cols>
    <col min="1" max="1" width="3" customWidth="1"/>
    <col min="2" max="3" width="14" customWidth="1"/>
    <col min="4" max="4" width="16.7109375" customWidth="1"/>
    <col min="5" max="5" width="13.5703125" customWidth="1"/>
    <col min="6" max="6" width="14.28515625" customWidth="1"/>
    <col min="7" max="7" width="9.140625" customWidth="1"/>
    <col min="8" max="8" width="13.85546875" customWidth="1"/>
    <col min="9" max="9" width="16.5703125" customWidth="1"/>
    <col min="11" max="11" width="6.85546875" style="2" customWidth="1"/>
    <col min="12" max="12" width="11.5703125" style="3" customWidth="1"/>
    <col min="13" max="13" width="14.7109375" customWidth="1"/>
  </cols>
  <sheetData>
    <row r="1" spans="2:13" x14ac:dyDescent="0.25">
      <c r="B1" t="s">
        <v>0</v>
      </c>
      <c r="C1" t="s">
        <v>17</v>
      </c>
      <c r="D1" t="s">
        <v>5</v>
      </c>
      <c r="E1" t="s">
        <v>6</v>
      </c>
      <c r="F1" t="s">
        <v>7</v>
      </c>
      <c r="G1" t="s">
        <v>10</v>
      </c>
      <c r="H1" t="s">
        <v>8</v>
      </c>
      <c r="I1" t="s">
        <v>9</v>
      </c>
      <c r="J1" t="s">
        <v>11</v>
      </c>
      <c r="K1" s="2" t="s">
        <v>12</v>
      </c>
      <c r="L1" s="3" t="s">
        <v>13</v>
      </c>
      <c r="M1" s="3" t="s">
        <v>94</v>
      </c>
    </row>
    <row r="2" spans="2:13" x14ac:dyDescent="0.25">
      <c r="B2" t="s">
        <v>39</v>
      </c>
      <c r="D2" t="s">
        <v>27</v>
      </c>
      <c r="E2" t="s">
        <v>40</v>
      </c>
      <c r="F2" t="s">
        <v>21</v>
      </c>
      <c r="G2" t="s">
        <v>15</v>
      </c>
      <c r="H2" t="s">
        <v>15</v>
      </c>
      <c r="I2" t="s">
        <v>15</v>
      </c>
      <c r="J2" t="s">
        <v>15</v>
      </c>
      <c r="K2" s="2">
        <v>1</v>
      </c>
      <c r="L2" s="3">
        <v>400</v>
      </c>
    </row>
    <row r="3" spans="2:13" x14ac:dyDescent="0.25">
      <c r="B3" t="s">
        <v>83</v>
      </c>
      <c r="D3" t="s">
        <v>84</v>
      </c>
      <c r="E3" t="s">
        <v>85</v>
      </c>
      <c r="F3" t="s">
        <v>4</v>
      </c>
      <c r="G3" t="s">
        <v>15</v>
      </c>
      <c r="H3" t="s">
        <v>15</v>
      </c>
      <c r="I3" t="s">
        <v>15</v>
      </c>
      <c r="J3" t="s">
        <v>15</v>
      </c>
      <c r="K3" s="2">
        <v>1</v>
      </c>
      <c r="L3" s="3">
        <v>500</v>
      </c>
    </row>
    <row r="4" spans="2:13" x14ac:dyDescent="0.25">
      <c r="B4" t="s">
        <v>36</v>
      </c>
      <c r="D4" t="s">
        <v>37</v>
      </c>
      <c r="E4" t="s">
        <v>38</v>
      </c>
      <c r="F4" t="s">
        <v>21</v>
      </c>
      <c r="G4" t="s">
        <v>15</v>
      </c>
      <c r="H4" t="s">
        <v>15</v>
      </c>
      <c r="I4" t="s">
        <v>15</v>
      </c>
      <c r="J4" t="s">
        <v>15</v>
      </c>
      <c r="K4" s="2">
        <v>1</v>
      </c>
      <c r="L4" s="3">
        <v>400</v>
      </c>
    </row>
    <row r="5" spans="2:13" x14ac:dyDescent="0.25">
      <c r="B5" t="s">
        <v>35</v>
      </c>
      <c r="D5" t="s">
        <v>2</v>
      </c>
      <c r="F5" t="s">
        <v>21</v>
      </c>
      <c r="G5" t="s">
        <v>15</v>
      </c>
      <c r="H5" t="s">
        <v>15</v>
      </c>
      <c r="I5" t="s">
        <v>15</v>
      </c>
      <c r="J5" t="s">
        <v>15</v>
      </c>
      <c r="K5" s="2">
        <v>1</v>
      </c>
      <c r="L5" s="3">
        <v>400</v>
      </c>
    </row>
    <row r="6" spans="2:13" x14ac:dyDescent="0.25">
      <c r="B6" t="s">
        <v>33</v>
      </c>
      <c r="D6" t="s">
        <v>25</v>
      </c>
      <c r="E6" t="s">
        <v>34</v>
      </c>
      <c r="F6" t="s">
        <v>4</v>
      </c>
      <c r="G6" t="s">
        <v>14</v>
      </c>
      <c r="H6" t="s">
        <v>15</v>
      </c>
      <c r="I6" t="s">
        <v>15</v>
      </c>
      <c r="J6" t="s">
        <v>15</v>
      </c>
      <c r="K6" s="2">
        <v>1</v>
      </c>
      <c r="L6" s="3">
        <v>400</v>
      </c>
    </row>
    <row r="7" spans="2:13" x14ac:dyDescent="0.25">
      <c r="B7" t="s">
        <v>30</v>
      </c>
      <c r="D7" t="s">
        <v>31</v>
      </c>
      <c r="E7" t="s">
        <v>32</v>
      </c>
      <c r="F7" t="s">
        <v>21</v>
      </c>
      <c r="G7" t="s">
        <v>14</v>
      </c>
      <c r="H7" t="s">
        <v>15</v>
      </c>
      <c r="I7" t="s">
        <v>15</v>
      </c>
      <c r="J7" t="s">
        <v>15</v>
      </c>
      <c r="K7" s="2">
        <v>1</v>
      </c>
      <c r="L7" s="3">
        <v>500</v>
      </c>
    </row>
    <row r="8" spans="2:13" x14ac:dyDescent="0.25">
      <c r="B8" t="s">
        <v>26</v>
      </c>
      <c r="D8" t="s">
        <v>27</v>
      </c>
      <c r="E8" t="s">
        <v>28</v>
      </c>
      <c r="F8" t="s">
        <v>21</v>
      </c>
      <c r="G8" t="s">
        <v>14</v>
      </c>
      <c r="H8" t="s">
        <v>15</v>
      </c>
      <c r="I8" t="s">
        <v>15</v>
      </c>
      <c r="J8" t="s">
        <v>15</v>
      </c>
      <c r="K8" s="2">
        <v>1</v>
      </c>
      <c r="L8" s="3">
        <v>500</v>
      </c>
    </row>
    <row r="9" spans="2:13" x14ac:dyDescent="0.25">
      <c r="B9" t="s">
        <v>18</v>
      </c>
      <c r="D9" t="s">
        <v>19</v>
      </c>
      <c r="E9" t="s">
        <v>20</v>
      </c>
      <c r="F9" t="s">
        <v>4</v>
      </c>
      <c r="G9" t="s">
        <v>14</v>
      </c>
      <c r="H9" t="s">
        <v>15</v>
      </c>
      <c r="I9" t="s">
        <v>15</v>
      </c>
      <c r="J9" t="s">
        <v>15</v>
      </c>
      <c r="K9" s="2">
        <v>1</v>
      </c>
      <c r="L9" s="3">
        <v>600</v>
      </c>
    </row>
    <row r="10" spans="2:13" x14ac:dyDescent="0.25">
      <c r="B10" t="s">
        <v>1</v>
      </c>
      <c r="D10" t="s">
        <v>2</v>
      </c>
      <c r="E10" s="7" t="s">
        <v>3</v>
      </c>
      <c r="F10" t="s">
        <v>4</v>
      </c>
      <c r="G10" t="s">
        <v>14</v>
      </c>
      <c r="H10" t="s">
        <v>15</v>
      </c>
      <c r="I10" t="s">
        <v>15</v>
      </c>
      <c r="J10" t="s">
        <v>15</v>
      </c>
      <c r="K10" s="2">
        <v>1</v>
      </c>
      <c r="L10" s="3">
        <v>500</v>
      </c>
    </row>
    <row r="11" spans="2:13" x14ac:dyDescent="0.25">
      <c r="B11" t="s">
        <v>78</v>
      </c>
      <c r="D11" t="s">
        <v>27</v>
      </c>
      <c r="E11" t="s">
        <v>79</v>
      </c>
      <c r="F11" t="s">
        <v>21</v>
      </c>
      <c r="G11" t="s">
        <v>15</v>
      </c>
      <c r="H11" t="s">
        <v>15</v>
      </c>
      <c r="I11" t="s">
        <v>15</v>
      </c>
      <c r="J11" t="s">
        <v>15</v>
      </c>
      <c r="K11" s="2">
        <v>1</v>
      </c>
      <c r="L11" s="3">
        <v>400</v>
      </c>
    </row>
    <row r="12" spans="2:13" x14ac:dyDescent="0.25">
      <c r="B12" t="s">
        <v>47</v>
      </c>
      <c r="D12" t="s">
        <v>48</v>
      </c>
      <c r="E12" t="s">
        <v>49</v>
      </c>
      <c r="F12" t="s">
        <v>21</v>
      </c>
      <c r="G12" t="s">
        <v>14</v>
      </c>
      <c r="H12" t="s">
        <v>15</v>
      </c>
      <c r="I12" t="s">
        <v>15</v>
      </c>
      <c r="J12" t="s">
        <v>15</v>
      </c>
      <c r="K12" s="2">
        <v>1</v>
      </c>
      <c r="L12" s="3">
        <v>400</v>
      </c>
    </row>
    <row r="13" spans="2:13" x14ac:dyDescent="0.25">
      <c r="B13" t="s">
        <v>44</v>
      </c>
      <c r="D13" t="s">
        <v>45</v>
      </c>
      <c r="E13" t="s">
        <v>46</v>
      </c>
      <c r="F13" t="s">
        <v>21</v>
      </c>
      <c r="G13" t="s">
        <v>14</v>
      </c>
      <c r="H13" t="s">
        <v>15</v>
      </c>
      <c r="I13" t="s">
        <v>15</v>
      </c>
      <c r="J13" t="s">
        <v>15</v>
      </c>
      <c r="K13" s="2">
        <v>1</v>
      </c>
      <c r="L13" s="3">
        <v>450</v>
      </c>
    </row>
    <row r="14" spans="2:13" x14ac:dyDescent="0.25">
      <c r="B14" s="6" t="s">
        <v>24</v>
      </c>
      <c r="D14" t="s">
        <v>25</v>
      </c>
      <c r="E14" t="s">
        <v>29</v>
      </c>
      <c r="F14" t="s">
        <v>21</v>
      </c>
      <c r="G14" t="s">
        <v>15</v>
      </c>
      <c r="H14" t="s">
        <v>15</v>
      </c>
      <c r="I14" t="s">
        <v>15</v>
      </c>
      <c r="J14" t="s">
        <v>15</v>
      </c>
      <c r="K14" s="2">
        <v>1</v>
      </c>
      <c r="L14" s="3">
        <v>500</v>
      </c>
    </row>
    <row r="15" spans="2:13" x14ac:dyDescent="0.25">
      <c r="B15" t="s">
        <v>80</v>
      </c>
      <c r="D15" t="s">
        <v>81</v>
      </c>
      <c r="E15" t="s">
        <v>82</v>
      </c>
      <c r="F15" t="s">
        <v>4</v>
      </c>
      <c r="G15" t="s">
        <v>15</v>
      </c>
      <c r="H15" t="s">
        <v>15</v>
      </c>
      <c r="I15" t="s">
        <v>15</v>
      </c>
      <c r="J15" t="s">
        <v>15</v>
      </c>
      <c r="K15" s="2">
        <v>1</v>
      </c>
      <c r="L15" s="3">
        <v>400</v>
      </c>
    </row>
    <row r="16" spans="2:13" x14ac:dyDescent="0.25">
      <c r="B16" t="s">
        <v>23</v>
      </c>
      <c r="D16" t="s">
        <v>41</v>
      </c>
      <c r="F16" t="s">
        <v>21</v>
      </c>
      <c r="G16" t="s">
        <v>14</v>
      </c>
      <c r="H16" t="s">
        <v>27</v>
      </c>
      <c r="I16" t="s">
        <v>42</v>
      </c>
      <c r="J16" t="s">
        <v>43</v>
      </c>
      <c r="K16" s="2">
        <v>2</v>
      </c>
      <c r="L16" s="3">
        <v>1100</v>
      </c>
    </row>
    <row r="17" spans="2:12" x14ac:dyDescent="0.25">
      <c r="B17" t="s">
        <v>54</v>
      </c>
      <c r="D17" t="s">
        <v>31</v>
      </c>
      <c r="E17" t="s">
        <v>55</v>
      </c>
      <c r="F17" t="s">
        <v>21</v>
      </c>
      <c r="G17" t="s">
        <v>14</v>
      </c>
      <c r="H17" t="s">
        <v>15</v>
      </c>
      <c r="I17" t="s">
        <v>15</v>
      </c>
      <c r="J17" t="s">
        <v>15</v>
      </c>
      <c r="K17" s="2">
        <v>1</v>
      </c>
      <c r="L17" s="3">
        <v>600</v>
      </c>
    </row>
    <row r="18" spans="2:12" x14ac:dyDescent="0.25">
      <c r="B18" t="s">
        <v>75</v>
      </c>
      <c r="D18" t="s">
        <v>76</v>
      </c>
      <c r="E18" t="s">
        <v>77</v>
      </c>
      <c r="F18" t="s">
        <v>4</v>
      </c>
      <c r="G18" t="s">
        <v>15</v>
      </c>
      <c r="H18" t="s">
        <v>15</v>
      </c>
      <c r="I18" t="s">
        <v>15</v>
      </c>
      <c r="J18" t="s">
        <v>15</v>
      </c>
      <c r="K18" s="2">
        <v>1</v>
      </c>
      <c r="L18" s="3">
        <v>400</v>
      </c>
    </row>
    <row r="19" spans="2:12" x14ac:dyDescent="0.25">
      <c r="B19" t="s">
        <v>52</v>
      </c>
      <c r="D19" t="s">
        <v>25</v>
      </c>
      <c r="E19" t="s">
        <v>53</v>
      </c>
      <c r="F19" t="s">
        <v>21</v>
      </c>
      <c r="G19" t="s">
        <v>14</v>
      </c>
      <c r="H19" t="s">
        <v>15</v>
      </c>
      <c r="I19" t="s">
        <v>15</v>
      </c>
      <c r="J19" t="s">
        <v>15</v>
      </c>
      <c r="K19" s="2">
        <v>1</v>
      </c>
      <c r="L19" s="3">
        <v>600</v>
      </c>
    </row>
    <row r="20" spans="2:12" x14ac:dyDescent="0.25">
      <c r="B20" t="s">
        <v>50</v>
      </c>
      <c r="D20" t="s">
        <v>31</v>
      </c>
      <c r="E20" t="s">
        <v>51</v>
      </c>
      <c r="F20" t="s">
        <v>21</v>
      </c>
      <c r="G20" t="s">
        <v>14</v>
      </c>
      <c r="H20" t="s">
        <v>15</v>
      </c>
      <c r="I20" t="s">
        <v>15</v>
      </c>
      <c r="J20" t="s">
        <v>15</v>
      </c>
      <c r="K20" s="2">
        <v>1</v>
      </c>
      <c r="L20" s="3">
        <v>450</v>
      </c>
    </row>
    <row r="21" spans="2:12" x14ac:dyDescent="0.25">
      <c r="B21" t="s">
        <v>65</v>
      </c>
      <c r="D21" t="s">
        <v>37</v>
      </c>
      <c r="E21" t="s">
        <v>66</v>
      </c>
      <c r="F21" t="s">
        <v>4</v>
      </c>
      <c r="G21" t="s">
        <v>14</v>
      </c>
      <c r="H21" t="s">
        <v>15</v>
      </c>
      <c r="I21" t="s">
        <v>15</v>
      </c>
      <c r="J21" t="s">
        <v>15</v>
      </c>
      <c r="K21" s="2">
        <v>1</v>
      </c>
      <c r="L21" s="3">
        <v>400</v>
      </c>
    </row>
    <row r="22" spans="2:12" x14ac:dyDescent="0.25">
      <c r="B22" t="s">
        <v>62</v>
      </c>
      <c r="D22" t="s">
        <v>63</v>
      </c>
      <c r="E22" t="s">
        <v>64</v>
      </c>
      <c r="F22" t="s">
        <v>21</v>
      </c>
      <c r="G22" t="s">
        <v>14</v>
      </c>
      <c r="H22" t="s">
        <v>15</v>
      </c>
      <c r="I22" t="s">
        <v>15</v>
      </c>
      <c r="J22" t="s">
        <v>15</v>
      </c>
      <c r="K22" s="2">
        <v>1</v>
      </c>
      <c r="L22" s="3">
        <v>500</v>
      </c>
    </row>
    <row r="23" spans="2:12" x14ac:dyDescent="0.25">
      <c r="B23" t="s">
        <v>72</v>
      </c>
      <c r="D23" t="s">
        <v>73</v>
      </c>
      <c r="E23" t="s">
        <v>74</v>
      </c>
      <c r="F23" t="s">
        <v>4</v>
      </c>
      <c r="G23" t="s">
        <v>14</v>
      </c>
      <c r="H23" t="s">
        <v>15</v>
      </c>
      <c r="I23" t="s">
        <v>15</v>
      </c>
      <c r="J23" t="s">
        <v>15</v>
      </c>
      <c r="K23" s="2">
        <v>1</v>
      </c>
      <c r="L23" s="3">
        <v>600</v>
      </c>
    </row>
    <row r="24" spans="2:12" x14ac:dyDescent="0.25">
      <c r="B24" t="s">
        <v>59</v>
      </c>
      <c r="D24" t="s">
        <v>60</v>
      </c>
      <c r="E24" t="s">
        <v>61</v>
      </c>
      <c r="F24" t="s">
        <v>21</v>
      </c>
      <c r="G24" t="s">
        <v>14</v>
      </c>
      <c r="H24" t="s">
        <v>15</v>
      </c>
      <c r="I24" t="s">
        <v>15</v>
      </c>
      <c r="J24" t="s">
        <v>15</v>
      </c>
      <c r="K24" s="2">
        <v>1</v>
      </c>
      <c r="L24" s="3">
        <v>1000</v>
      </c>
    </row>
    <row r="25" spans="2:12" x14ac:dyDescent="0.25">
      <c r="B25" t="s">
        <v>56</v>
      </c>
      <c r="D25" t="s">
        <v>57</v>
      </c>
      <c r="E25" t="s">
        <v>58</v>
      </c>
      <c r="F25" t="s">
        <v>21</v>
      </c>
      <c r="G25" t="s">
        <v>14</v>
      </c>
      <c r="H25" t="s">
        <v>15</v>
      </c>
      <c r="I25" t="s">
        <v>15</v>
      </c>
      <c r="J25" t="s">
        <v>15</v>
      </c>
      <c r="K25" s="2">
        <v>1</v>
      </c>
      <c r="L25" s="3">
        <v>500</v>
      </c>
    </row>
    <row r="26" spans="2:12" x14ac:dyDescent="0.25">
      <c r="B26" t="s">
        <v>71</v>
      </c>
      <c r="D26" t="s">
        <v>25</v>
      </c>
      <c r="F26" t="s">
        <v>4</v>
      </c>
      <c r="G26" t="s">
        <v>15</v>
      </c>
      <c r="H26" t="s">
        <v>15</v>
      </c>
      <c r="I26" t="s">
        <v>15</v>
      </c>
      <c r="J26" t="s">
        <v>15</v>
      </c>
      <c r="K26" s="2">
        <v>1</v>
      </c>
      <c r="L26" s="3">
        <v>400</v>
      </c>
    </row>
    <row r="27" spans="2:12" x14ac:dyDescent="0.25">
      <c r="B27" t="s">
        <v>70</v>
      </c>
      <c r="D27" t="s">
        <v>2</v>
      </c>
      <c r="F27" t="s">
        <v>21</v>
      </c>
      <c r="G27" t="s">
        <v>14</v>
      </c>
      <c r="H27" t="s">
        <v>15</v>
      </c>
      <c r="I27" t="s">
        <v>15</v>
      </c>
      <c r="J27" t="s">
        <v>15</v>
      </c>
      <c r="K27" s="2">
        <v>1</v>
      </c>
      <c r="L27" s="3">
        <v>450</v>
      </c>
    </row>
    <row r="28" spans="2:12" x14ac:dyDescent="0.25">
      <c r="B28" t="s">
        <v>68</v>
      </c>
      <c r="D28" t="s">
        <v>60</v>
      </c>
      <c r="F28" t="s">
        <v>4</v>
      </c>
      <c r="G28" t="s">
        <v>14</v>
      </c>
      <c r="H28" t="s">
        <v>27</v>
      </c>
      <c r="I28" t="s">
        <v>69</v>
      </c>
      <c r="J28" t="s">
        <v>43</v>
      </c>
      <c r="K28" s="2">
        <v>2</v>
      </c>
      <c r="L28" s="3">
        <v>800</v>
      </c>
    </row>
    <row r="29" spans="2:12" x14ac:dyDescent="0.25">
      <c r="B29" t="s">
        <v>67</v>
      </c>
      <c r="D29" t="s">
        <v>48</v>
      </c>
      <c r="F29" t="s">
        <v>21</v>
      </c>
      <c r="G29" t="s">
        <v>14</v>
      </c>
      <c r="H29" t="s">
        <v>37</v>
      </c>
      <c r="J29" t="s">
        <v>43</v>
      </c>
      <c r="K29" s="2">
        <v>2</v>
      </c>
      <c r="L29" s="3">
        <v>1000</v>
      </c>
    </row>
    <row r="30" spans="2:12" x14ac:dyDescent="0.25">
      <c r="B30" t="s">
        <v>86</v>
      </c>
      <c r="D30" t="s">
        <v>87</v>
      </c>
      <c r="F30" t="s">
        <v>21</v>
      </c>
      <c r="G30" t="s">
        <v>15</v>
      </c>
      <c r="H30" t="s">
        <v>15</v>
      </c>
      <c r="I30" t="s">
        <v>15</v>
      </c>
      <c r="J30" t="s">
        <v>15</v>
      </c>
      <c r="K30" s="2">
        <v>1</v>
      </c>
      <c r="L30" s="3">
        <v>500</v>
      </c>
    </row>
  </sheetData>
  <dataConsolidate/>
  <dataValidations count="1">
    <dataValidation type="textLength" allowBlank="1" showInputMessage="1" showErrorMessage="1" sqref="B1:B1048576">
      <formula1>7</formula1>
      <formula2>7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'Code sorce'!$B$4:$B$5</xm:f>
          </x14:formula1>
          <xm:sqref>G2:G30 M1:M1048576</xm:sqref>
        </x14:dataValidation>
        <x14:dataValidation type="list" allowBlank="1" showInputMessage="1" showErrorMessage="1">
          <x14:formula1>
            <xm:f>'Code sorce'!$E$4:$E$6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showWhiteSpace="0" zoomScaleNormal="100" zoomScalePageLayoutView="55" workbookViewId="0">
      <selection activeCell="R7" sqref="R7"/>
    </sheetView>
  </sheetViews>
  <sheetFormatPr defaultRowHeight="15" x14ac:dyDescent="0.25"/>
  <cols>
    <col min="1" max="1" width="2.5703125" customWidth="1"/>
    <col min="16" max="16" width="22.140625" customWidth="1"/>
    <col min="17" max="17" width="2.140625" customWidth="1"/>
  </cols>
  <sheetData>
    <row r="1" spans="1:17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9"/>
    </row>
    <row r="3" spans="1:17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</row>
    <row r="4" spans="1:17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1:17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</row>
    <row r="6" spans="1:17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9"/>
    </row>
    <row r="7" spans="1:17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9"/>
    </row>
    <row r="8" spans="1:17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9"/>
    </row>
    <row r="9" spans="1:17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/>
    </row>
    <row r="10" spans="1:17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</row>
    <row r="11" spans="1:17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</row>
    <row r="12" spans="1:17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</row>
    <row r="13" spans="1:17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</row>
    <row r="14" spans="1:17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</row>
    <row r="15" spans="1:17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/>
    </row>
    <row r="16" spans="1:17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9"/>
    </row>
    <row r="17" spans="1:17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9"/>
    </row>
    <row r="18" spans="1:17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/>
    </row>
    <row r="19" spans="1:1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</row>
    <row r="20" spans="1:17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</row>
    <row r="21" spans="1:17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9"/>
    </row>
    <row r="22" spans="1:1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"/>
    </row>
    <row r="23" spans="1:1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9"/>
    </row>
    <row r="24" spans="1:1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 sorce</vt:lpstr>
      <vt:lpstr>pivot</vt:lpstr>
      <vt:lpstr>DB</vt:lpstr>
      <vt:lpstr>calc table</vt:lpstr>
      <vt:lpstr>DB GRAPH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sokkanathan</dc:creator>
  <cp:lastModifiedBy>sokkanathan</cp:lastModifiedBy>
  <dcterms:created xsi:type="dcterms:W3CDTF">2016-05-04T07:31:13Z</dcterms:created>
  <dcterms:modified xsi:type="dcterms:W3CDTF">2016-05-05T12:50:44Z</dcterms:modified>
</cp:coreProperties>
</file>